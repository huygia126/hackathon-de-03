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10980"/>
  </bookViews>
  <sheets>
    <sheet name="DangKy" sheetId="1" r:id="rId1"/>
    <sheet name="GoiTap" sheetId="2" r:id="rId2"/>
  </sheets>
  <definedNames>
    <definedName name="_xlnm._FilterDatabase" localSheetId="0" hidden="1">DangKy!$G$2:$G$16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<sst xmlns="http://schemas.openxmlformats.org/spreadsheetml/2006/main" count="69" uniqueCount="51">
  <si>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ma_dk</t>
  </si>
  <si>
    <t>ngay_dk</t>
  </si>
  <si>
    <t>ma_goi</t>
  </si>
  <si>
    <t>so_thang</t>
  </si>
  <si>
    <t>ten_goi</t>
  </si>
  <si>
    <t>gia_thang</t>
  </si>
  <si>
    <t>tong_phi</t>
  </si>
  <si>
    <t>DK001</t>
  </si>
  <si>
    <t>2025-11-01</t>
  </si>
  <si>
    <t>G01</t>
  </si>
  <si>
    <t>DK002</t>
  </si>
  <si>
    <t>2025-11-02</t>
  </si>
  <si>
    <t>G02</t>
  </si>
  <si>
    <t>DK003</t>
  </si>
  <si>
    <t>2025-11-03</t>
  </si>
  <si>
    <t>Y01</t>
  </si>
  <si>
    <t>DK004</t>
  </si>
  <si>
    <t>2025-11-04</t>
  </si>
  <si>
    <t>DK005</t>
  </si>
  <si>
    <t>2025-11-05</t>
  </si>
  <si>
    <t>G03</t>
  </si>
  <si>
    <t>DK006</t>
  </si>
  <si>
    <t>2025-11-06</t>
  </si>
  <si>
    <t>DK007</t>
  </si>
  <si>
    <t>2025-11-07</t>
  </si>
  <si>
    <t>Y02</t>
  </si>
  <si>
    <t>DK008</t>
  </si>
  <si>
    <t>2025-11-08</t>
  </si>
  <si>
    <t>DK009</t>
  </si>
  <si>
    <t>2025-11-09</t>
  </si>
  <si>
    <t>DK010</t>
  </si>
  <si>
    <t>2025-11-10</t>
  </si>
  <si>
    <t>DK011</t>
  </si>
  <si>
    <t>2025-11-11</t>
  </si>
  <si>
    <t>P01</t>
  </si>
  <si>
    <t>DK012</t>
  </si>
  <si>
    <t>2025-11-12</t>
  </si>
  <si>
    <t>DK013</t>
  </si>
  <si>
    <t>2025-11-13</t>
  </si>
  <si>
    <t>DK014</t>
  </si>
  <si>
    <t>2025-11-14</t>
  </si>
  <si>
    <t>B01</t>
  </si>
  <si>
    <t>DK015</t>
  </si>
  <si>
    <t>2025-11-15</t>
  </si>
  <si>
    <t>Goi co ban</t>
  </si>
  <si>
    <t>Goi tieu chuan</t>
  </si>
  <si>
    <t>Goi cao cap</t>
  </si>
  <si>
    <t>Yoga buoi sang</t>
  </si>
  <si>
    <t>Yoga buoi toi</t>
  </si>
  <si>
    <t>Huan luyen ca nhan</t>
  </si>
  <si>
    <t>Boxing nhap mon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</si>
</sst>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J44" sqref="J44"/>
    </sheetView>
  </sheetViews>
  <sheetFormatPr defaultColWidth="9" defaultRowHeight="14.2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t="str">
        <f>VLOOKUP(C2,GoiTap!$A$1:$C$8,2,FALSE)</f>
        <v>Goi co ban</v>
      </c>
      <c r="F2">
        <f>VLOOKUP(C2,GoiTap!$A$1:$C$8,3,FALSE)</f>
        <v>300000</v>
      </c>
      <c r="G2">
        <f>(D2*F2)</f>
        <v>1500000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VLOOKUP(C3,GoiTap!$A$1:$C$8,2,FALSE)</f>
        <v>Goi tieu chuan</v>
      </c>
      <c r="F3">
        <f>VLOOKUP(C3,GoiTap!$A$1:$C$8,3,FALSE)</f>
        <v>450000</v>
      </c>
      <c r="G3">
        <f t="shared" ref="G3:G16" si="0">(D3*F3)</f>
        <v>900000</v>
      </c>
    </row>
    <row r="4" hidden="1" spans="1:7">
      <c r="A4" t="s">
        <v>13</v>
      </c>
      <c r="B4" t="s">
        <v>14</v>
      </c>
      <c r="C4" t="s">
        <v>15</v>
      </c>
      <c r="D4">
        <v>6</v>
      </c>
      <c r="E4" t="str">
        <f>VLOOKUP(C4,GoiTap!$A$1:$C$8,2,FALSE)</f>
        <v>Yoga buoi sang</v>
      </c>
      <c r="F4">
        <f>VLOOKUP(C4,GoiTap!$A$1:$C$8,3,FALSE)</f>
        <v>350000</v>
      </c>
      <c r="G4">
        <f t="shared" si="0"/>
        <v>2100000</v>
      </c>
    </row>
    <row r="5" hidden="1" spans="1:7">
      <c r="A5" t="s">
        <v>16</v>
      </c>
      <c r="B5" t="s">
        <v>17</v>
      </c>
      <c r="C5" t="s">
        <v>15</v>
      </c>
      <c r="D5">
        <v>5</v>
      </c>
      <c r="E5" t="str">
        <f>VLOOKUP(C5,GoiTap!$A$1:$C$8,2,FALSE)</f>
        <v>Yoga buoi sang</v>
      </c>
      <c r="F5">
        <f>VLOOKUP(C5,GoiTap!$A$1:$C$8,3,FALSE)</f>
        <v>350000</v>
      </c>
      <c r="G5">
        <f t="shared" si="0"/>
        <v>1750000</v>
      </c>
    </row>
    <row r="6" hidden="1" spans="1:7">
      <c r="A6" t="s">
        <v>18</v>
      </c>
      <c r="B6" t="s">
        <v>19</v>
      </c>
      <c r="C6" t="s">
        <v>20</v>
      </c>
      <c r="D6">
        <v>5</v>
      </c>
      <c r="E6" t="str">
        <f>VLOOKUP(C6,GoiTap!$A$1:$C$8,2,FALSE)</f>
        <v>Goi cao cap</v>
      </c>
      <c r="F6">
        <f>VLOOKUP(C6,GoiTap!$A$1:$C$8,3,FALSE)</f>
        <v>700000</v>
      </c>
      <c r="G6">
        <f t="shared" si="0"/>
        <v>3500000</v>
      </c>
    </row>
    <row r="7" hidden="1" spans="1:7">
      <c r="A7" t="s">
        <v>21</v>
      </c>
      <c r="B7" t="s">
        <v>22</v>
      </c>
      <c r="C7" t="s">
        <v>15</v>
      </c>
      <c r="D7">
        <v>1</v>
      </c>
      <c r="E7" t="str">
        <f>VLOOKUP(C7,GoiTap!$A$1:$C$8,2,FALSE)</f>
        <v>Yoga buoi sang</v>
      </c>
      <c r="F7">
        <f>VLOOKUP(C7,GoiTap!$A$1:$C$8,3,FALSE)</f>
        <v>350000</v>
      </c>
      <c r="G7">
        <f t="shared" si="0"/>
        <v>350000</v>
      </c>
    </row>
    <row r="8" spans="1:7">
      <c r="A8" t="s">
        <v>23</v>
      </c>
      <c r="B8" t="s">
        <v>24</v>
      </c>
      <c r="C8" t="s">
        <v>25</v>
      </c>
      <c r="D8">
        <v>3</v>
      </c>
      <c r="E8" t="str">
        <f>VLOOKUP(C8,GoiTap!$A$1:$C$8,2,FALSE)</f>
        <v>Yoga buoi toi</v>
      </c>
      <c r="F8">
        <f>VLOOKUP(C8,GoiTap!$A$1:$C$8,3,FALSE)</f>
        <v>400000</v>
      </c>
      <c r="G8">
        <f t="shared" si="0"/>
        <v>1200000</v>
      </c>
    </row>
    <row r="9" hidden="1" spans="1:7">
      <c r="A9" t="s">
        <v>26</v>
      </c>
      <c r="B9" t="s">
        <v>27</v>
      </c>
      <c r="C9" t="s">
        <v>25</v>
      </c>
      <c r="D9">
        <v>2</v>
      </c>
      <c r="E9" t="str">
        <f>VLOOKUP(C9,GoiTap!$A$1:$C$8,2,FALSE)</f>
        <v>Yoga buoi toi</v>
      </c>
      <c r="F9">
        <f>VLOOKUP(C9,GoiTap!$A$1:$C$8,3,FALSE)</f>
        <v>400000</v>
      </c>
      <c r="G9">
        <f t="shared" si="0"/>
        <v>800000</v>
      </c>
    </row>
    <row r="10" hidden="1" spans="1:7">
      <c r="A10" t="s">
        <v>28</v>
      </c>
      <c r="B10" t="s">
        <v>29</v>
      </c>
      <c r="C10" t="s">
        <v>25</v>
      </c>
      <c r="D10">
        <v>6</v>
      </c>
      <c r="E10" t="str">
        <f>VLOOKUP(C10,GoiTap!$A$1:$C$8,2,FALSE)</f>
        <v>Yoga buoi toi</v>
      </c>
      <c r="F10">
        <f>VLOOKUP(C10,GoiTap!$A$1:$C$8,3,FALSE)</f>
        <v>400000</v>
      </c>
      <c r="G10">
        <f t="shared" si="0"/>
        <v>2400000</v>
      </c>
    </row>
    <row r="11" hidden="1" spans="1:7">
      <c r="A11" t="s">
        <v>30</v>
      </c>
      <c r="B11" t="s">
        <v>31</v>
      </c>
      <c r="C11" t="s">
        <v>12</v>
      </c>
      <c r="D11">
        <v>5</v>
      </c>
      <c r="E11" t="str">
        <f>VLOOKUP(C11,GoiTap!$A$1:$C$8,2,FALSE)</f>
        <v>Goi tieu chuan</v>
      </c>
      <c r="F11">
        <f>VLOOKUP(C11,GoiTap!$A$1:$C$8,3,FALSE)</f>
        <v>450000</v>
      </c>
      <c r="G11">
        <f t="shared" si="0"/>
        <v>2250000</v>
      </c>
    </row>
    <row r="12" hidden="1" spans="1:7">
      <c r="A12" t="s">
        <v>32</v>
      </c>
      <c r="B12" t="s">
        <v>33</v>
      </c>
      <c r="C12" t="s">
        <v>34</v>
      </c>
      <c r="D12">
        <v>5</v>
      </c>
      <c r="E12" t="str">
        <f>VLOOKUP(C12,GoiTap!$A$1:$C$8,2,FALSE)</f>
        <v>Huan luyen ca nhan</v>
      </c>
      <c r="F12">
        <f>VLOOKUP(C12,GoiTap!$A$1:$C$8,3,FALSE)</f>
        <v>900000</v>
      </c>
      <c r="G12">
        <f t="shared" si="0"/>
        <v>4500000</v>
      </c>
    </row>
    <row r="13" hidden="1" spans="1:7">
      <c r="A13" t="s">
        <v>35</v>
      </c>
      <c r="B13" t="s">
        <v>36</v>
      </c>
      <c r="C13" t="s">
        <v>34</v>
      </c>
      <c r="D13">
        <v>1</v>
      </c>
      <c r="E13" t="str">
        <f>VLOOKUP(C13,GoiTap!$A$1:$C$8,2,FALSE)</f>
        <v>Huan luyen ca nhan</v>
      </c>
      <c r="F13">
        <f>VLOOKUP(C13,GoiTap!$A$1:$C$8,3,FALSE)</f>
        <v>900000</v>
      </c>
      <c r="G13">
        <f t="shared" si="0"/>
        <v>900000</v>
      </c>
    </row>
    <row r="14" hidden="1" spans="1:7">
      <c r="A14" t="s">
        <v>37</v>
      </c>
      <c r="B14" t="s">
        <v>38</v>
      </c>
      <c r="C14" t="s">
        <v>9</v>
      </c>
      <c r="D14">
        <v>2</v>
      </c>
      <c r="E14" t="str">
        <f>VLOOKUP(C14,GoiTap!$A$1:$C$8,2,FALSE)</f>
        <v>Goi co ban</v>
      </c>
      <c r="F14">
        <f>VLOOKUP(C14,GoiTap!$A$1:$C$8,3,FALSE)</f>
        <v>300000</v>
      </c>
      <c r="G14">
        <f t="shared" si="0"/>
        <v>600000</v>
      </c>
    </row>
    <row r="15" hidden="1" spans="1:7">
      <c r="A15" t="s">
        <v>39</v>
      </c>
      <c r="B15" t="s">
        <v>40</v>
      </c>
      <c r="C15" t="s">
        <v>41</v>
      </c>
      <c r="D15">
        <v>4</v>
      </c>
      <c r="E15" t="str">
        <f>VLOOKUP(C15,GoiTap!$A$1:$C$8,2,FALSE)</f>
        <v>Boxing nhap mon</v>
      </c>
      <c r="F15">
        <f>VLOOKUP(C15,GoiTap!$A$1:$C$8,3,FALSE)</f>
        <v>500000</v>
      </c>
      <c r="G15">
        <f t="shared" si="0"/>
        <v>2000000</v>
      </c>
    </row>
    <row r="16" hidden="1" spans="1:7">
      <c r="A16" t="s">
        <v>42</v>
      </c>
      <c r="B16" t="s">
        <v>43</v>
      </c>
      <c r="C16" t="s">
        <v>15</v>
      </c>
      <c r="D16">
        <v>3</v>
      </c>
      <c r="E16" t="str">
        <f>VLOOKUP(C16,GoiTap!$A$1:$C$8,2,FALSE)</f>
        <v>Yoga buoi sang</v>
      </c>
      <c r="F16">
        <f>VLOOKUP(C16,GoiTap!$A$1:$C$8,3,FALSE)</f>
        <v>350000</v>
      </c>
      <c r="G16">
        <f t="shared" si="0"/>
        <v>1050000</v>
      </c>
    </row>
  </sheetData>
  <autoFilter xmlns:etc="http://www.wps.cn/officeDocument/2017/etCustomData" ref="G2:G16" etc:filterBottomFollowUsedRange="0">
    <filterColumn colId="0">
      <filters>
        <filter val="12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3" sqref="D3"/>
    </sheetView>
  </sheetViews>
  <sheetFormatPr defaultColWidth="9" defaultRowHeight="14.2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300000</v>
      </c>
    </row>
    <row r="3" spans="1:3">
      <c r="A3" t="s">
        <v>12</v>
      </c>
      <c r="B3" t="s">
        <v>45</v>
      </c>
      <c r="C3">
        <v>450000</v>
      </c>
    </row>
    <row r="4" spans="1:3">
      <c r="A4" t="s">
        <v>20</v>
      </c>
      <c r="B4" t="s">
        <v>46</v>
      </c>
      <c r="C4">
        <v>700000</v>
      </c>
    </row>
    <row r="5" spans="1:3">
      <c r="A5" t="s">
        <v>15</v>
      </c>
      <c r="B5" t="s">
        <v>47</v>
      </c>
      <c r="C5">
        <v>350000</v>
      </c>
    </row>
    <row r="6" spans="1:3">
      <c r="A6" t="s">
        <v>25</v>
      </c>
      <c r="B6" t="s">
        <v>48</v>
      </c>
      <c r="C6">
        <v>400000</v>
      </c>
    </row>
    <row r="7" spans="1:3">
      <c r="A7" t="s">
        <v>34</v>
      </c>
      <c r="B7" t="s">
        <v>49</v>
      </c>
      <c r="C7">
        <v>900000</v>
      </c>
    </row>
    <row r="8" spans="1:3">
      <c r="A8" t="s">
        <v>41</v>
      </c>
      <c r="B8" t="s">
        <v>50</v>
      </c>
      <c r="C8">
        <v>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GoiTap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gia</cp:lastModifiedBy>
  <dcterms:created xsi:type="dcterms:W3CDTF">2026-10-12T01:39:00Z</dcterms:created>
  <dcterms:modified xsi:type="dcterms:W3CDTF">2026-10-15T01:53:39Z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09C4FD93018A48D18C265E606440C89B_12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